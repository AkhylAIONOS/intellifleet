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fedex-my.sharepoint.com/personal/ankur_savant_fedex_com/Documents/Documents/Everything else/Project Files/PMO- MEISA P&amp;E/Ops Technology/"/>
    </mc:Choice>
  </mc:AlternateContent>
  <xr:revisionPtr revIDLastSave="48" documentId="8_{4DD57A32-10BA-4804-841C-E47D28A8E880}" xr6:coauthVersionLast="47" xr6:coauthVersionMax="47" xr10:uidLastSave="{9638B954-0632-4450-B5A9-FCA261BEE1D9}"/>
  <bookViews>
    <workbookView xWindow="-110" yWindow="-110" windowWidth="19420" windowHeight="11500" xr2:uid="{E9A6B9B5-6FC0-49EA-895F-10B2F433F5D9}"/>
  </bookViews>
  <sheets>
    <sheet name="Air" sheetId="2" r:id="rId1"/>
    <sheet name="Surfac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2" i="3"/>
</calcChain>
</file>

<file path=xl/sharedStrings.xml><?xml version="1.0" encoding="utf-8"?>
<sst xmlns="http://schemas.openxmlformats.org/spreadsheetml/2006/main" count="234" uniqueCount="98">
  <si>
    <t>BHADOHI</t>
  </si>
  <si>
    <t>Lane</t>
  </si>
  <si>
    <t>Run</t>
  </si>
  <si>
    <t>Mode</t>
  </si>
  <si>
    <t>Flight</t>
  </si>
  <si>
    <t>Handover</t>
  </si>
  <si>
    <t>ETD</t>
  </si>
  <si>
    <t>ETA</t>
  </si>
  <si>
    <t>Retrieval</t>
  </si>
  <si>
    <t>VNS-DEL</t>
  </si>
  <si>
    <t>Air</t>
  </si>
  <si>
    <t>6E 6380</t>
  </si>
  <si>
    <t>VARANASI</t>
  </si>
  <si>
    <t>6E 2215</t>
  </si>
  <si>
    <t>INDORE</t>
  </si>
  <si>
    <t>IDR-BOM</t>
  </si>
  <si>
    <t>6E 6598</t>
  </si>
  <si>
    <t>IDR-DEL</t>
  </si>
  <si>
    <t>6E 6972</t>
  </si>
  <si>
    <t>PITHAMPUR</t>
  </si>
  <si>
    <t>UDAIPUR</t>
  </si>
  <si>
    <t>UDR-DEL</t>
  </si>
  <si>
    <t>6E 6229</t>
  </si>
  <si>
    <t>COCHIN</t>
  </si>
  <si>
    <t>COK-BLR</t>
  </si>
  <si>
    <t>6E 472</t>
  </si>
  <si>
    <t>COIMBATORE</t>
  </si>
  <si>
    <t>CJB-BLR</t>
  </si>
  <si>
    <t>6E 5355</t>
  </si>
  <si>
    <t>Details</t>
  </si>
  <si>
    <t>No of Vechiles</t>
  </si>
  <si>
    <t>Handover at Orgn</t>
  </si>
  <si>
    <t>Surface</t>
  </si>
  <si>
    <t>Bolero pickup</t>
  </si>
  <si>
    <t>TATA 407</t>
  </si>
  <si>
    <t>Post Monsoon</t>
  </si>
  <si>
    <t>Train</t>
  </si>
  <si>
    <t>-</t>
  </si>
  <si>
    <t>KANPUR</t>
  </si>
  <si>
    <t>TAT 407</t>
  </si>
  <si>
    <t>AGRA</t>
  </si>
  <si>
    <t>MORADABAD</t>
  </si>
  <si>
    <t>LUDHIANA</t>
  </si>
  <si>
    <t>MOHALI</t>
  </si>
  <si>
    <t>PANIPAT</t>
  </si>
  <si>
    <t>TATA ACE</t>
  </si>
  <si>
    <t>SONEPAT</t>
  </si>
  <si>
    <t>AMD Clearence</t>
  </si>
  <si>
    <t>VADODARA</t>
  </si>
  <si>
    <t>TIRUPUR</t>
  </si>
  <si>
    <t>Primary 1</t>
  </si>
  <si>
    <t>MAA Clearence</t>
  </si>
  <si>
    <t>12696 </t>
  </si>
  <si>
    <t>Seasonal back-up</t>
  </si>
  <si>
    <t>Last Brand</t>
  </si>
  <si>
    <t>MADURAI</t>
  </si>
  <si>
    <t>Origin City</t>
  </si>
  <si>
    <t>TT (hours)</t>
  </si>
  <si>
    <t xml:space="preserve">Origin Station </t>
  </si>
  <si>
    <t>Transit Hub/GTW</t>
  </si>
  <si>
    <t>KANUPU</t>
  </si>
  <si>
    <t>DELGW</t>
  </si>
  <si>
    <t>CNB</t>
  </si>
  <si>
    <t>NDLS</t>
  </si>
  <si>
    <t>AGRGA</t>
  </si>
  <si>
    <t>DELMO</t>
  </si>
  <si>
    <t>LUHNA</t>
  </si>
  <si>
    <t>LDH</t>
  </si>
  <si>
    <t>VNSBA</t>
  </si>
  <si>
    <t>DDU</t>
  </si>
  <si>
    <t>VNSAN</t>
  </si>
  <si>
    <t xml:space="preserve">NDLS </t>
  </si>
  <si>
    <t>IDROE</t>
  </si>
  <si>
    <t>BOMA</t>
  </si>
  <si>
    <t>IDRPE</t>
  </si>
  <si>
    <t>UDRPU</t>
  </si>
  <si>
    <t>IXCHA</t>
  </si>
  <si>
    <t>DELPA</t>
  </si>
  <si>
    <t>DELSO</t>
  </si>
  <si>
    <t>BDQDA</t>
  </si>
  <si>
    <t>AMDVG</t>
  </si>
  <si>
    <t>BDQA</t>
  </si>
  <si>
    <t>COKOH</t>
  </si>
  <si>
    <t>BLRGW</t>
  </si>
  <si>
    <t>AWY</t>
  </si>
  <si>
    <t>BNC</t>
  </si>
  <si>
    <t>CJBTU</t>
  </si>
  <si>
    <t>CJBMB</t>
  </si>
  <si>
    <t>CBE</t>
  </si>
  <si>
    <t>MAS</t>
  </si>
  <si>
    <t>IXMRU</t>
  </si>
  <si>
    <t>LB</t>
  </si>
  <si>
    <t>MDU</t>
  </si>
  <si>
    <t>SMVB</t>
  </si>
  <si>
    <t xml:space="preserve">Lane </t>
  </si>
  <si>
    <t>Origin Station</t>
  </si>
  <si>
    <t>Transit GTW</t>
  </si>
  <si>
    <t>BOMIP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</si>
</sst>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00000"/>
      <name val="FedEx Sans Regular"/>
    </font>
    <font>
      <b/>
      <sz val="8"/>
      <color rgb="FF000000"/>
      <name val="FedEx Sans Regula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20" fontId="1" fillId="0" borderId="2" xfId="0" applyNumberFormat="1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3FDC-3355-4A9A-BFCE-F74184FD8EB9}">
  <dimension ref="A1:K11"/>
  <sheetViews>
    <sheetView tabSelected="1" workbookViewId="0">
      <selection activeCell="C8" sqref="C8"/>
    </sheetView>
  </sheetViews>
  <sheetFormatPr defaultRowHeight="14.5" x14ac:dyDescent="0.35"/>
  <cols>
    <col min="1" max="3" width="11.90625" customWidth="1"/>
    <col min="7" max="7" width="8.7265625" customWidth="1"/>
  </cols>
  <sheetData>
    <row r="1" spans="1:11" x14ac:dyDescent="0.35">
      <c r="A1" s="5" t="s">
        <v>56</v>
      </c>
      <c r="B1" s="5" t="s">
        <v>95</v>
      </c>
      <c r="C1" s="5" t="s">
        <v>96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5">
      <c r="A2" s="1" t="s">
        <v>0</v>
      </c>
      <c r="B2" s="1" t="s">
        <v>68</v>
      </c>
      <c r="C2" s="1" t="s">
        <v>61</v>
      </c>
      <c r="D2" s="3" t="s">
        <v>9</v>
      </c>
      <c r="E2" s="3">
        <v>1</v>
      </c>
      <c r="F2" s="3" t="s">
        <v>10</v>
      </c>
      <c r="G2" s="3" t="s">
        <v>11</v>
      </c>
      <c r="H2" s="4">
        <v>0.70833333333333337</v>
      </c>
      <c r="I2" s="4">
        <v>0.875</v>
      </c>
      <c r="J2" s="4">
        <v>0.93402777777777779</v>
      </c>
      <c r="K2" s="4">
        <v>3.8194444444444448E-2</v>
      </c>
    </row>
    <row r="3" spans="1:11" x14ac:dyDescent="0.35">
      <c r="A3" s="1" t="s">
        <v>12</v>
      </c>
      <c r="B3" s="1" t="s">
        <v>70</v>
      </c>
      <c r="C3" s="1" t="s">
        <v>61</v>
      </c>
      <c r="D3" s="3" t="s">
        <v>9</v>
      </c>
      <c r="E3" s="3">
        <v>1</v>
      </c>
      <c r="F3" s="3" t="s">
        <v>10</v>
      </c>
      <c r="G3" s="3" t="s">
        <v>11</v>
      </c>
      <c r="H3" s="4">
        <v>0.72916666666666663</v>
      </c>
      <c r="I3" s="4">
        <v>0.875</v>
      </c>
      <c r="J3" s="4">
        <v>0.93402777777777779</v>
      </c>
      <c r="K3" s="4">
        <v>3.8194444444444448E-2</v>
      </c>
    </row>
    <row r="4" spans="1:11" x14ac:dyDescent="0.35">
      <c r="A4" s="1" t="s">
        <v>12</v>
      </c>
      <c r="B4" s="1" t="s">
        <v>70</v>
      </c>
      <c r="C4" s="1" t="s">
        <v>61</v>
      </c>
      <c r="D4" s="3" t="s">
        <v>9</v>
      </c>
      <c r="E4" s="3">
        <v>2</v>
      </c>
      <c r="F4" s="3" t="s">
        <v>10</v>
      </c>
      <c r="G4" s="3" t="s">
        <v>13</v>
      </c>
      <c r="H4" s="4">
        <v>0.91666666666666663</v>
      </c>
      <c r="I4" s="4">
        <v>0.30902777777777779</v>
      </c>
      <c r="J4" s="4">
        <v>0.37152777777777779</v>
      </c>
      <c r="K4" s="4">
        <v>0.47569444444444442</v>
      </c>
    </row>
    <row r="5" spans="1:11" x14ac:dyDescent="0.35">
      <c r="A5" s="1" t="s">
        <v>14</v>
      </c>
      <c r="B5" s="1" t="s">
        <v>72</v>
      </c>
      <c r="C5" s="1" t="s">
        <v>97</v>
      </c>
      <c r="D5" s="3" t="s">
        <v>15</v>
      </c>
      <c r="E5" s="3">
        <v>1</v>
      </c>
      <c r="F5" s="3" t="s">
        <v>10</v>
      </c>
      <c r="G5" s="3" t="s">
        <v>16</v>
      </c>
      <c r="H5" s="4">
        <v>0.77083333333333337</v>
      </c>
      <c r="I5" s="4">
        <v>0.93055555555555558</v>
      </c>
      <c r="J5" s="4">
        <v>0.98958333333333337</v>
      </c>
      <c r="K5" s="4">
        <v>0.10416666666666667</v>
      </c>
    </row>
    <row r="6" spans="1:11" x14ac:dyDescent="0.35">
      <c r="A6" s="1" t="s">
        <v>14</v>
      </c>
      <c r="B6" s="1" t="s">
        <v>72</v>
      </c>
      <c r="C6" s="1" t="s">
        <v>61</v>
      </c>
      <c r="D6" s="3" t="s">
        <v>17</v>
      </c>
      <c r="E6" s="3">
        <v>2</v>
      </c>
      <c r="F6" s="3" t="s">
        <v>10</v>
      </c>
      <c r="G6" s="3" t="s">
        <v>18</v>
      </c>
      <c r="H6" s="4">
        <v>0.8125</v>
      </c>
      <c r="I6" s="4">
        <v>0.96875</v>
      </c>
      <c r="J6" s="4">
        <v>3.125E-2</v>
      </c>
      <c r="K6" s="4">
        <v>0.13541666666666666</v>
      </c>
    </row>
    <row r="7" spans="1:11" x14ac:dyDescent="0.35">
      <c r="A7" s="1" t="s">
        <v>19</v>
      </c>
      <c r="B7" s="1" t="s">
        <v>74</v>
      </c>
      <c r="C7" s="1" t="s">
        <v>97</v>
      </c>
      <c r="D7" s="3" t="s">
        <v>15</v>
      </c>
      <c r="E7" s="3">
        <v>1</v>
      </c>
      <c r="F7" s="3" t="s">
        <v>10</v>
      </c>
      <c r="G7" s="3" t="s">
        <v>16</v>
      </c>
      <c r="H7" s="4">
        <v>0.72916666666666663</v>
      </c>
      <c r="I7" s="4">
        <v>0.93055555555555558</v>
      </c>
      <c r="J7" s="4">
        <v>0.98958333333333337</v>
      </c>
      <c r="K7" s="4">
        <v>0.10416666666666667</v>
      </c>
    </row>
    <row r="8" spans="1:11" x14ac:dyDescent="0.35">
      <c r="A8" s="1" t="s">
        <v>19</v>
      </c>
      <c r="B8" s="1" t="s">
        <v>74</v>
      </c>
      <c r="C8" s="1" t="s">
        <v>61</v>
      </c>
      <c r="D8" s="3" t="s">
        <v>17</v>
      </c>
      <c r="E8" s="3">
        <v>2</v>
      </c>
      <c r="F8" s="3" t="s">
        <v>10</v>
      </c>
      <c r="G8" s="3" t="s">
        <v>18</v>
      </c>
      <c r="H8" s="4">
        <v>0.77083333333333337</v>
      </c>
      <c r="I8" s="4">
        <v>0.96875</v>
      </c>
      <c r="J8" s="4">
        <v>3.125E-2</v>
      </c>
      <c r="K8" s="4">
        <v>0.13541666666666666</v>
      </c>
    </row>
    <row r="9" spans="1:11" x14ac:dyDescent="0.35">
      <c r="A9" s="1" t="s">
        <v>20</v>
      </c>
      <c r="B9" s="1" t="s">
        <v>75</v>
      </c>
      <c r="C9" s="1" t="s">
        <v>61</v>
      </c>
      <c r="D9" s="3" t="s">
        <v>21</v>
      </c>
      <c r="E9" s="3">
        <v>1</v>
      </c>
      <c r="F9" s="3" t="s">
        <v>10</v>
      </c>
      <c r="G9" s="3" t="s">
        <v>22</v>
      </c>
      <c r="H9" s="4">
        <v>0.6875</v>
      </c>
      <c r="I9" s="4">
        <v>0.83333333333333337</v>
      </c>
      <c r="J9" s="4">
        <v>0.88888888888888884</v>
      </c>
      <c r="K9" s="4">
        <v>0.99305555555555558</v>
      </c>
    </row>
    <row r="10" spans="1:11" x14ac:dyDescent="0.35">
      <c r="A10" s="1" t="s">
        <v>23</v>
      </c>
      <c r="B10" s="1" t="s">
        <v>82</v>
      </c>
      <c r="C10" s="1" t="s">
        <v>83</v>
      </c>
      <c r="D10" s="3" t="s">
        <v>24</v>
      </c>
      <c r="E10" s="3">
        <v>1</v>
      </c>
      <c r="F10" s="3" t="s">
        <v>10</v>
      </c>
      <c r="G10" s="3" t="s">
        <v>25</v>
      </c>
      <c r="H10" s="4">
        <v>0.75694444444444442</v>
      </c>
      <c r="I10" s="4">
        <v>0.90277777777777779</v>
      </c>
      <c r="J10" s="4">
        <v>0.95138888888888884</v>
      </c>
      <c r="K10" s="4">
        <v>5.5555555555555552E-2</v>
      </c>
    </row>
    <row r="11" spans="1:11" x14ac:dyDescent="0.35">
      <c r="A11" s="1" t="s">
        <v>26</v>
      </c>
      <c r="B11" s="1" t="s">
        <v>87</v>
      </c>
      <c r="C11" s="1" t="s">
        <v>83</v>
      </c>
      <c r="D11" s="3" t="s">
        <v>27</v>
      </c>
      <c r="E11" s="3">
        <v>1</v>
      </c>
      <c r="F11" s="3" t="s">
        <v>10</v>
      </c>
      <c r="G11" s="3" t="s">
        <v>28</v>
      </c>
      <c r="H11" s="4">
        <v>0.75</v>
      </c>
      <c r="I11" s="4">
        <v>0.89236111111111116</v>
      </c>
      <c r="J11" s="4">
        <v>0.94444444444444442</v>
      </c>
      <c r="K11" s="4">
        <v>4.8611111111111112E-2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59C4-4F79-4B6A-803C-832EC21EAC27}">
  <dimension ref="A1:L29"/>
  <sheetViews>
    <sheetView workbookViewId="0">
      <selection activeCell="C5" sqref="C5"/>
    </sheetView>
  </sheetViews>
  <sheetFormatPr defaultRowHeight="14.5" x14ac:dyDescent="0.35"/>
  <cols>
    <col min="1" max="1" width="15" style="9" customWidth="1"/>
    <col min="2" max="2" width="13.81640625" style="9" customWidth="1"/>
    <col min="3" max="3" width="17.81640625" style="9" customWidth="1"/>
    <col min="4" max="4" width="13.81640625" style="9" customWidth="1"/>
    <col min="5" max="5" width="16.26953125" customWidth="1"/>
    <col min="6" max="6" width="8.7265625" style="9"/>
    <col min="7" max="7" width="17.36328125" style="9" customWidth="1"/>
    <col min="8" max="8" width="13" customWidth="1"/>
    <col min="9" max="9" width="17.7265625" customWidth="1"/>
    <col min="12" max="12" width="12.08984375" customWidth="1"/>
  </cols>
  <sheetData>
    <row r="1" spans="1:12" ht="23" x14ac:dyDescent="0.35">
      <c r="A1" s="10" t="s">
        <v>56</v>
      </c>
      <c r="B1" s="10" t="s">
        <v>58</v>
      </c>
      <c r="C1" s="10" t="s">
        <v>59</v>
      </c>
      <c r="D1" s="7" t="s">
        <v>94</v>
      </c>
      <c r="E1" s="2" t="s">
        <v>2</v>
      </c>
      <c r="F1" s="7" t="s">
        <v>3</v>
      </c>
      <c r="G1" s="7" t="s">
        <v>29</v>
      </c>
      <c r="H1" s="2" t="s">
        <v>30</v>
      </c>
      <c r="I1" s="2" t="s">
        <v>31</v>
      </c>
      <c r="J1" s="2" t="s">
        <v>6</v>
      </c>
      <c r="K1" s="2" t="s">
        <v>7</v>
      </c>
      <c r="L1" s="2" t="s">
        <v>57</v>
      </c>
    </row>
    <row r="2" spans="1:12" x14ac:dyDescent="0.35">
      <c r="A2" s="6" t="s">
        <v>38</v>
      </c>
      <c r="B2" s="8" t="s">
        <v>60</v>
      </c>
      <c r="C2" s="8" t="s">
        <v>61</v>
      </c>
      <c r="D2" s="8" t="str">
        <f>_xlfn.CONCAT(B2,"-",C2)</f>
        <v>KANUPU-DELGW</v>
      </c>
      <c r="E2" s="3">
        <v>1</v>
      </c>
      <c r="F2" s="8" t="s">
        <v>32</v>
      </c>
      <c r="G2" s="8" t="s">
        <v>33</v>
      </c>
      <c r="H2" s="3">
        <v>1</v>
      </c>
      <c r="I2" s="4">
        <v>0.72916666666666663</v>
      </c>
      <c r="J2" s="4">
        <v>0.75</v>
      </c>
      <c r="K2" s="4">
        <v>0.15625</v>
      </c>
      <c r="L2" s="4">
        <v>0.40625</v>
      </c>
    </row>
    <row r="3" spans="1:12" x14ac:dyDescent="0.35">
      <c r="A3" s="6" t="s">
        <v>38</v>
      </c>
      <c r="B3" s="8" t="s">
        <v>60</v>
      </c>
      <c r="C3" s="8" t="s">
        <v>61</v>
      </c>
      <c r="D3" s="8" t="str">
        <f t="shared" ref="D3:D29" si="0">_xlfn.CONCAT(B3,"-",C3)</f>
        <v>KANUPU-DELGW</v>
      </c>
      <c r="E3" s="3">
        <v>2</v>
      </c>
      <c r="F3" s="8" t="s">
        <v>32</v>
      </c>
      <c r="G3" s="8" t="s">
        <v>34</v>
      </c>
      <c r="H3" s="3">
        <v>1</v>
      </c>
      <c r="I3" s="4">
        <v>0.97916666666666663</v>
      </c>
      <c r="J3" s="4">
        <v>0</v>
      </c>
      <c r="K3" s="4">
        <v>0.45833333333333331</v>
      </c>
      <c r="L3" s="4">
        <v>0.45833333333333331</v>
      </c>
    </row>
    <row r="4" spans="1:12" x14ac:dyDescent="0.35">
      <c r="A4" s="6" t="s">
        <v>38</v>
      </c>
      <c r="B4" s="8" t="s">
        <v>62</v>
      </c>
      <c r="C4" s="8" t="s">
        <v>63</v>
      </c>
      <c r="D4" s="8" t="str">
        <f t="shared" si="0"/>
        <v>CNB-NDLS</v>
      </c>
      <c r="E4" s="3" t="s">
        <v>35</v>
      </c>
      <c r="F4" s="8" t="s">
        <v>36</v>
      </c>
      <c r="G4" s="8">
        <v>12309</v>
      </c>
      <c r="H4" s="3" t="s">
        <v>37</v>
      </c>
      <c r="I4" s="4">
        <v>0.91666666666666663</v>
      </c>
      <c r="J4" s="4">
        <v>9.7222222222222224E-2</v>
      </c>
      <c r="K4" s="4">
        <v>0.31944444444444442</v>
      </c>
      <c r="L4" s="4">
        <v>0.22222222222222221</v>
      </c>
    </row>
    <row r="5" spans="1:12" x14ac:dyDescent="0.35">
      <c r="A5" s="6" t="s">
        <v>40</v>
      </c>
      <c r="B5" s="8" t="s">
        <v>64</v>
      </c>
      <c r="C5" s="8" t="s">
        <v>61</v>
      </c>
      <c r="D5" s="8" t="str">
        <f t="shared" si="0"/>
        <v>AGRGA-DELGW</v>
      </c>
      <c r="E5" s="3">
        <v>1</v>
      </c>
      <c r="F5" s="8" t="s">
        <v>32</v>
      </c>
      <c r="G5" s="8" t="s">
        <v>39</v>
      </c>
      <c r="H5" s="3">
        <v>1</v>
      </c>
      <c r="I5" s="4">
        <v>0.875</v>
      </c>
      <c r="J5" s="4">
        <v>0.89583333333333337</v>
      </c>
      <c r="K5" s="4">
        <v>0.1041666666666667</v>
      </c>
      <c r="L5" s="4">
        <v>0.20833333333333329</v>
      </c>
    </row>
    <row r="6" spans="1:12" x14ac:dyDescent="0.35">
      <c r="A6" s="8" t="s">
        <v>41</v>
      </c>
      <c r="B6" s="8" t="s">
        <v>65</v>
      </c>
      <c r="C6" s="8" t="s">
        <v>61</v>
      </c>
      <c r="D6" s="8" t="str">
        <f t="shared" si="0"/>
        <v>DELMO-DELGW</v>
      </c>
      <c r="E6" s="3">
        <v>1</v>
      </c>
      <c r="F6" s="8" t="s">
        <v>32</v>
      </c>
      <c r="G6" s="8" t="s">
        <v>33</v>
      </c>
      <c r="H6" s="3">
        <v>1</v>
      </c>
      <c r="I6" s="4">
        <v>0.875</v>
      </c>
      <c r="J6" s="4">
        <v>0.89583333333333337</v>
      </c>
      <c r="K6" s="4">
        <v>9.0277777777777776E-2</v>
      </c>
      <c r="L6" s="4">
        <v>0.19444444444444439</v>
      </c>
    </row>
    <row r="7" spans="1:12" x14ac:dyDescent="0.35">
      <c r="A7" s="6" t="s">
        <v>42</v>
      </c>
      <c r="B7" s="8" t="s">
        <v>66</v>
      </c>
      <c r="C7" s="8" t="s">
        <v>61</v>
      </c>
      <c r="D7" s="8" t="str">
        <f t="shared" si="0"/>
        <v>LUHNA-DELGW</v>
      </c>
      <c r="E7" s="3">
        <v>1</v>
      </c>
      <c r="F7" s="8" t="s">
        <v>32</v>
      </c>
      <c r="G7" s="8" t="s">
        <v>33</v>
      </c>
      <c r="H7" s="3">
        <v>1</v>
      </c>
      <c r="I7" s="4">
        <v>0.83333333333333337</v>
      </c>
      <c r="J7" s="4">
        <v>0.85416666666666663</v>
      </c>
      <c r="K7" s="4">
        <v>0.14583333333333329</v>
      </c>
      <c r="L7" s="4">
        <v>0.29166666666666669</v>
      </c>
    </row>
    <row r="8" spans="1:12" x14ac:dyDescent="0.35">
      <c r="A8" s="6" t="s">
        <v>42</v>
      </c>
      <c r="B8" s="8" t="s">
        <v>66</v>
      </c>
      <c r="C8" s="8" t="s">
        <v>61</v>
      </c>
      <c r="D8" s="8" t="str">
        <f t="shared" si="0"/>
        <v>LUHNA-DELGW</v>
      </c>
      <c r="E8" s="3">
        <v>2</v>
      </c>
      <c r="F8" s="8" t="s">
        <v>32</v>
      </c>
      <c r="G8" s="8" t="s">
        <v>33</v>
      </c>
      <c r="H8" s="3">
        <v>1</v>
      </c>
      <c r="I8" s="4">
        <v>0.91666666666666663</v>
      </c>
      <c r="J8" s="4">
        <v>0.9375</v>
      </c>
      <c r="K8" s="4">
        <v>0.22916666666666671</v>
      </c>
      <c r="L8" s="4">
        <v>0.29166666666666669</v>
      </c>
    </row>
    <row r="9" spans="1:12" x14ac:dyDescent="0.35">
      <c r="A9" s="6" t="s">
        <v>42</v>
      </c>
      <c r="B9" s="8" t="s">
        <v>67</v>
      </c>
      <c r="C9" s="8" t="s">
        <v>63</v>
      </c>
      <c r="D9" s="8" t="str">
        <f t="shared" si="0"/>
        <v>LDH-NDLS</v>
      </c>
      <c r="E9" s="3" t="s">
        <v>35</v>
      </c>
      <c r="F9" s="8" t="s">
        <v>36</v>
      </c>
      <c r="G9" s="8">
        <v>12426</v>
      </c>
      <c r="H9" s="3" t="s">
        <v>37</v>
      </c>
      <c r="I9" s="4">
        <v>0.91666666666666663</v>
      </c>
      <c r="J9" s="4">
        <v>7.2916666666666671E-2</v>
      </c>
      <c r="K9" s="4">
        <v>0.25</v>
      </c>
      <c r="L9" s="4">
        <v>0.17708333333333329</v>
      </c>
    </row>
    <row r="10" spans="1:12" x14ac:dyDescent="0.35">
      <c r="A10" s="6" t="s">
        <v>0</v>
      </c>
      <c r="B10" s="8" t="s">
        <v>68</v>
      </c>
      <c r="C10" s="8" t="s">
        <v>61</v>
      </c>
      <c r="D10" s="8" t="str">
        <f t="shared" si="0"/>
        <v>VNSBA-DELGW</v>
      </c>
      <c r="E10" s="3">
        <v>1</v>
      </c>
      <c r="F10" s="8" t="s">
        <v>32</v>
      </c>
      <c r="G10" s="8" t="s">
        <v>34</v>
      </c>
      <c r="H10" s="3">
        <v>2</v>
      </c>
      <c r="I10" s="4">
        <v>0.89583333333333337</v>
      </c>
      <c r="J10" s="4">
        <v>0.91666666666666663</v>
      </c>
      <c r="K10" s="4">
        <v>0.6875</v>
      </c>
      <c r="L10" s="4">
        <v>0.77083333333333337</v>
      </c>
    </row>
    <row r="11" spans="1:12" x14ac:dyDescent="0.35">
      <c r="A11" s="6" t="s">
        <v>0</v>
      </c>
      <c r="B11" s="8" t="s">
        <v>69</v>
      </c>
      <c r="C11" s="8" t="s">
        <v>63</v>
      </c>
      <c r="D11" s="8" t="str">
        <f t="shared" si="0"/>
        <v>DDU-NDLS</v>
      </c>
      <c r="E11" s="3" t="s">
        <v>35</v>
      </c>
      <c r="F11" s="8" t="s">
        <v>36</v>
      </c>
      <c r="G11" s="8">
        <v>12559</v>
      </c>
      <c r="H11" s="3" t="s">
        <v>37</v>
      </c>
      <c r="I11" s="4">
        <v>0.8125</v>
      </c>
      <c r="J11" s="4">
        <v>0.92708333333333337</v>
      </c>
      <c r="K11" s="4">
        <v>0.35416666666666669</v>
      </c>
      <c r="L11" s="4">
        <v>0.58333333333333337</v>
      </c>
    </row>
    <row r="12" spans="1:12" x14ac:dyDescent="0.35">
      <c r="A12" s="6" t="s">
        <v>12</v>
      </c>
      <c r="B12" s="8" t="s">
        <v>70</v>
      </c>
      <c r="C12" s="8" t="s">
        <v>61</v>
      </c>
      <c r="D12" s="8" t="str">
        <f t="shared" si="0"/>
        <v>VNSAN-DELGW</v>
      </c>
      <c r="E12" s="3">
        <v>1</v>
      </c>
      <c r="F12" s="8" t="s">
        <v>32</v>
      </c>
      <c r="G12" s="8" t="s">
        <v>33</v>
      </c>
      <c r="H12" s="3">
        <v>1</v>
      </c>
      <c r="I12" s="4">
        <v>0.89583333333333337</v>
      </c>
      <c r="J12" s="4">
        <v>0.91666666666666663</v>
      </c>
      <c r="K12" s="4">
        <v>0.64583333333333337</v>
      </c>
      <c r="L12" s="4">
        <v>0.72916666666666663</v>
      </c>
    </row>
    <row r="13" spans="1:12" x14ac:dyDescent="0.35">
      <c r="A13" s="6" t="s">
        <v>12</v>
      </c>
      <c r="B13" s="8" t="s">
        <v>69</v>
      </c>
      <c r="C13" s="8" t="s">
        <v>71</v>
      </c>
      <c r="D13" s="8" t="str">
        <f t="shared" si="0"/>
        <v xml:space="preserve">DDU-NDLS </v>
      </c>
      <c r="E13" s="3" t="s">
        <v>35</v>
      </c>
      <c r="F13" s="8" t="s">
        <v>36</v>
      </c>
      <c r="G13" s="8">
        <v>12559</v>
      </c>
      <c r="H13" s="3" t="s">
        <v>37</v>
      </c>
      <c r="I13" s="4">
        <v>0.85416666666666663</v>
      </c>
      <c r="J13" s="4">
        <v>0.92708333333333337</v>
      </c>
      <c r="K13" s="4">
        <v>0.35416666666666669</v>
      </c>
      <c r="L13" s="4">
        <v>0.58333333333333337</v>
      </c>
    </row>
    <row r="14" spans="1:12" x14ac:dyDescent="0.35">
      <c r="A14" s="6" t="s">
        <v>14</v>
      </c>
      <c r="B14" s="8" t="s">
        <v>72</v>
      </c>
      <c r="C14" s="8" t="s">
        <v>73</v>
      </c>
      <c r="D14" s="8" t="str">
        <f t="shared" si="0"/>
        <v>IDROE-BOMA</v>
      </c>
      <c r="E14" s="3">
        <v>1</v>
      </c>
      <c r="F14" s="8" t="s">
        <v>32</v>
      </c>
      <c r="G14" s="8" t="s">
        <v>33</v>
      </c>
      <c r="H14" s="3">
        <v>1</v>
      </c>
      <c r="I14" s="4">
        <v>0.9375</v>
      </c>
      <c r="J14" s="4">
        <v>0.95833333333333337</v>
      </c>
      <c r="K14" s="4">
        <v>0.44444444444444442</v>
      </c>
      <c r="L14" s="4">
        <v>0.4861111111111111</v>
      </c>
    </row>
    <row r="15" spans="1:12" x14ac:dyDescent="0.35">
      <c r="A15" s="6" t="s">
        <v>19</v>
      </c>
      <c r="B15" s="8" t="s">
        <v>74</v>
      </c>
      <c r="C15" s="8" t="s">
        <v>73</v>
      </c>
      <c r="D15" s="8" t="str">
        <f t="shared" si="0"/>
        <v>IDRPE-BOMA</v>
      </c>
      <c r="E15" s="3">
        <v>1</v>
      </c>
      <c r="F15" s="8" t="s">
        <v>32</v>
      </c>
      <c r="G15" s="8" t="s">
        <v>33</v>
      </c>
      <c r="H15" s="3">
        <v>1</v>
      </c>
      <c r="I15" s="4">
        <v>0.89583333333333337</v>
      </c>
      <c r="J15" s="4">
        <v>0.91666666666666663</v>
      </c>
      <c r="K15" s="4">
        <v>0.44444444444444442</v>
      </c>
      <c r="L15" s="4">
        <v>0.52777777777777779</v>
      </c>
    </row>
    <row r="16" spans="1:12" x14ac:dyDescent="0.35">
      <c r="A16" s="6" t="s">
        <v>20</v>
      </c>
      <c r="B16" s="8" t="s">
        <v>75</v>
      </c>
      <c r="C16" s="8" t="s">
        <v>61</v>
      </c>
      <c r="D16" s="8" t="str">
        <f t="shared" si="0"/>
        <v>UDRPU-DELGW</v>
      </c>
      <c r="E16" s="3">
        <v>1</v>
      </c>
      <c r="F16" s="8" t="s">
        <v>32</v>
      </c>
      <c r="G16" s="8" t="s">
        <v>33</v>
      </c>
      <c r="H16" s="3">
        <v>1</v>
      </c>
      <c r="I16" s="4">
        <v>0.89583333333333337</v>
      </c>
      <c r="J16" s="4">
        <v>0.91666666666666663</v>
      </c>
      <c r="K16" s="4">
        <v>0.5</v>
      </c>
      <c r="L16" s="4">
        <v>0.58333333333333337</v>
      </c>
    </row>
    <row r="17" spans="1:12" x14ac:dyDescent="0.35">
      <c r="A17" s="6" t="s">
        <v>43</v>
      </c>
      <c r="B17" s="8" t="s">
        <v>76</v>
      </c>
      <c r="C17" s="8" t="s">
        <v>61</v>
      </c>
      <c r="D17" s="8" t="str">
        <f t="shared" si="0"/>
        <v>IXCHA-DELGW</v>
      </c>
      <c r="E17" s="3">
        <v>1</v>
      </c>
      <c r="F17" s="8" t="s">
        <v>32</v>
      </c>
      <c r="G17" s="8" t="s">
        <v>33</v>
      </c>
      <c r="H17" s="3">
        <v>1</v>
      </c>
      <c r="I17" s="4">
        <v>0.875</v>
      </c>
      <c r="J17" s="4">
        <v>0.89583333333333337</v>
      </c>
      <c r="K17" s="4">
        <v>0.14583333333333329</v>
      </c>
      <c r="L17" s="4">
        <v>0.25</v>
      </c>
    </row>
    <row r="18" spans="1:12" x14ac:dyDescent="0.35">
      <c r="A18" s="6" t="s">
        <v>44</v>
      </c>
      <c r="B18" s="8" t="s">
        <v>77</v>
      </c>
      <c r="C18" s="8" t="s">
        <v>78</v>
      </c>
      <c r="D18" s="8" t="str">
        <f t="shared" si="0"/>
        <v>DELPA-DELSO</v>
      </c>
      <c r="E18" s="3">
        <v>1</v>
      </c>
      <c r="F18" s="8" t="s">
        <v>32</v>
      </c>
      <c r="G18" s="8" t="s">
        <v>39</v>
      </c>
      <c r="H18" s="3">
        <v>1</v>
      </c>
      <c r="I18" s="4">
        <v>0.875</v>
      </c>
      <c r="J18" s="4">
        <v>0.89583333333333337</v>
      </c>
      <c r="K18" s="4">
        <v>0</v>
      </c>
      <c r="L18" s="4">
        <v>0.1041666666666667</v>
      </c>
    </row>
    <row r="19" spans="1:12" x14ac:dyDescent="0.35">
      <c r="A19" s="6" t="s">
        <v>46</v>
      </c>
      <c r="B19" s="8" t="s">
        <v>78</v>
      </c>
      <c r="C19" s="8" t="s">
        <v>61</v>
      </c>
      <c r="D19" s="8" t="str">
        <f t="shared" si="0"/>
        <v>DELSO-DELGW</v>
      </c>
      <c r="E19" s="3">
        <v>1</v>
      </c>
      <c r="F19" s="8" t="s">
        <v>32</v>
      </c>
      <c r="G19" s="8" t="s">
        <v>45</v>
      </c>
      <c r="H19" s="3">
        <v>1</v>
      </c>
      <c r="I19" s="4">
        <v>0.875</v>
      </c>
      <c r="J19" s="4">
        <v>0.89583333333333337</v>
      </c>
      <c r="K19" s="4">
        <v>0.95833333333333337</v>
      </c>
      <c r="L19" s="4">
        <v>6.25E-2</v>
      </c>
    </row>
    <row r="20" spans="1:12" x14ac:dyDescent="0.35">
      <c r="A20" s="6" t="s">
        <v>48</v>
      </c>
      <c r="B20" s="8" t="s">
        <v>79</v>
      </c>
      <c r="C20" s="8" t="s">
        <v>80</v>
      </c>
      <c r="D20" s="8" t="str">
        <f t="shared" si="0"/>
        <v>BDQDA-AMDVG</v>
      </c>
      <c r="E20" s="3" t="s">
        <v>47</v>
      </c>
      <c r="F20" s="8" t="s">
        <v>32</v>
      </c>
      <c r="G20" s="8" t="s">
        <v>34</v>
      </c>
      <c r="H20" s="3">
        <v>1</v>
      </c>
      <c r="I20" s="4">
        <v>0.89583333333333337</v>
      </c>
      <c r="J20" s="4">
        <v>0.91666666666666663</v>
      </c>
      <c r="K20" s="4">
        <v>4.1666666666666657E-2</v>
      </c>
      <c r="L20" s="4">
        <v>0.125</v>
      </c>
    </row>
    <row r="21" spans="1:12" x14ac:dyDescent="0.35">
      <c r="A21" s="6" t="s">
        <v>48</v>
      </c>
      <c r="B21" s="8" t="s">
        <v>81</v>
      </c>
      <c r="C21" s="8" t="s">
        <v>73</v>
      </c>
      <c r="D21" s="8" t="str">
        <f t="shared" si="0"/>
        <v>BDQA-BOMA</v>
      </c>
      <c r="E21" s="3">
        <v>1</v>
      </c>
      <c r="F21" s="8" t="s">
        <v>32</v>
      </c>
      <c r="G21" s="8" t="s">
        <v>33</v>
      </c>
      <c r="H21" s="3">
        <v>1</v>
      </c>
      <c r="I21" s="4">
        <v>0.8125</v>
      </c>
      <c r="J21" s="4">
        <v>0.83333333333333337</v>
      </c>
      <c r="K21" s="4">
        <v>0.16666666666666671</v>
      </c>
      <c r="L21" s="4">
        <v>0.33333333333333331</v>
      </c>
    </row>
    <row r="22" spans="1:12" x14ac:dyDescent="0.35">
      <c r="A22" s="6" t="s">
        <v>23</v>
      </c>
      <c r="B22" s="8" t="s">
        <v>82</v>
      </c>
      <c r="C22" s="8" t="s">
        <v>83</v>
      </c>
      <c r="D22" s="8" t="str">
        <f t="shared" si="0"/>
        <v>COKOH-BLRGW</v>
      </c>
      <c r="E22" s="3">
        <v>1</v>
      </c>
      <c r="F22" s="8" t="s">
        <v>32</v>
      </c>
      <c r="G22" s="8" t="s">
        <v>33</v>
      </c>
      <c r="H22" s="3">
        <v>1</v>
      </c>
      <c r="I22" s="4">
        <v>0.89583333333333337</v>
      </c>
      <c r="J22" s="4">
        <v>0.91666666666666663</v>
      </c>
      <c r="K22" s="4">
        <v>0.35416666666666669</v>
      </c>
      <c r="L22" s="4">
        <v>0.4375</v>
      </c>
    </row>
    <row r="23" spans="1:12" x14ac:dyDescent="0.35">
      <c r="A23" s="6" t="s">
        <v>23</v>
      </c>
      <c r="B23" s="8" t="s">
        <v>84</v>
      </c>
      <c r="C23" s="8" t="s">
        <v>85</v>
      </c>
      <c r="D23" s="8" t="str">
        <f t="shared" si="0"/>
        <v>AWY-BNC</v>
      </c>
      <c r="E23" s="3" t="s">
        <v>35</v>
      </c>
      <c r="F23" s="8" t="s">
        <v>36</v>
      </c>
      <c r="G23" s="8">
        <v>16378</v>
      </c>
      <c r="H23" s="3" t="s">
        <v>37</v>
      </c>
      <c r="I23" s="4">
        <v>0.29166666666666669</v>
      </c>
      <c r="J23" s="4">
        <v>0.39583333333333331</v>
      </c>
      <c r="K23" s="4">
        <v>0.875</v>
      </c>
      <c r="L23" s="4">
        <v>0.47916666666666669</v>
      </c>
    </row>
    <row r="24" spans="1:12" x14ac:dyDescent="0.35">
      <c r="A24" s="6" t="s">
        <v>49</v>
      </c>
      <c r="B24" s="8" t="s">
        <v>86</v>
      </c>
      <c r="C24" s="8" t="s">
        <v>83</v>
      </c>
      <c r="D24" s="8" t="str">
        <f t="shared" si="0"/>
        <v>CJBTU-BLRGW</v>
      </c>
      <c r="E24" s="3">
        <v>1</v>
      </c>
      <c r="F24" s="8" t="s">
        <v>32</v>
      </c>
      <c r="G24" s="8" t="s">
        <v>33</v>
      </c>
      <c r="H24" s="3">
        <v>1</v>
      </c>
      <c r="I24" s="4">
        <v>0.875</v>
      </c>
      <c r="J24" s="4">
        <v>0.89583333333333337</v>
      </c>
      <c r="K24" s="4">
        <v>0.14583333333333329</v>
      </c>
      <c r="L24" s="4">
        <v>0.25</v>
      </c>
    </row>
    <row r="25" spans="1:12" x14ac:dyDescent="0.35">
      <c r="A25" s="6" t="s">
        <v>26</v>
      </c>
      <c r="B25" s="8" t="s">
        <v>87</v>
      </c>
      <c r="C25" s="8" t="s">
        <v>83</v>
      </c>
      <c r="D25" s="8" t="str">
        <f t="shared" si="0"/>
        <v>CJBMB-BLRGW</v>
      </c>
      <c r="E25" s="3" t="s">
        <v>50</v>
      </c>
      <c r="F25" s="8" t="s">
        <v>32</v>
      </c>
      <c r="G25" s="8" t="s">
        <v>34</v>
      </c>
      <c r="H25" s="3">
        <v>1</v>
      </c>
      <c r="I25" s="4">
        <v>0.89583333333333337</v>
      </c>
      <c r="J25" s="4">
        <v>0.91666666666666663</v>
      </c>
      <c r="K25" s="4">
        <v>0.25</v>
      </c>
      <c r="L25" s="4">
        <v>0.33333333333333331</v>
      </c>
    </row>
    <row r="26" spans="1:12" x14ac:dyDescent="0.35">
      <c r="A26" s="6" t="s">
        <v>26</v>
      </c>
      <c r="B26" s="8" t="s">
        <v>88</v>
      </c>
      <c r="C26" s="8" t="s">
        <v>89</v>
      </c>
      <c r="D26" s="8" t="str">
        <f t="shared" si="0"/>
        <v>CBE-MAS</v>
      </c>
      <c r="E26" s="3" t="s">
        <v>51</v>
      </c>
      <c r="F26" s="8" t="s">
        <v>36</v>
      </c>
      <c r="G26" s="8" t="s">
        <v>52</v>
      </c>
      <c r="H26" s="3"/>
      <c r="I26" s="4">
        <v>6.25E-2</v>
      </c>
      <c r="J26" s="4">
        <v>8.3333333333333329E-2</v>
      </c>
      <c r="K26" s="4">
        <v>0.41666666666666669</v>
      </c>
      <c r="L26" s="4">
        <v>0.33333333333333331</v>
      </c>
    </row>
    <row r="27" spans="1:12" x14ac:dyDescent="0.35">
      <c r="A27" s="6" t="s">
        <v>55</v>
      </c>
      <c r="B27" s="8" t="s">
        <v>90</v>
      </c>
      <c r="C27" s="8" t="s">
        <v>83</v>
      </c>
      <c r="D27" s="8" t="str">
        <f t="shared" si="0"/>
        <v>IXMRU-BLRGW</v>
      </c>
      <c r="E27" s="3" t="s">
        <v>53</v>
      </c>
      <c r="F27" s="8" t="s">
        <v>32</v>
      </c>
      <c r="G27" s="8" t="s">
        <v>33</v>
      </c>
      <c r="H27" s="3">
        <v>1</v>
      </c>
      <c r="I27" s="4">
        <v>0.89583333333333337</v>
      </c>
      <c r="J27" s="4">
        <v>0.91666666666666663</v>
      </c>
      <c r="K27" s="4">
        <v>0.27777777777777779</v>
      </c>
      <c r="L27" s="4">
        <v>0.3611111111111111</v>
      </c>
    </row>
    <row r="28" spans="1:12" x14ac:dyDescent="0.35">
      <c r="A28" s="6" t="s">
        <v>55</v>
      </c>
      <c r="B28" s="8" t="s">
        <v>91</v>
      </c>
      <c r="C28" s="8" t="s">
        <v>83</v>
      </c>
      <c r="D28" s="8" t="str">
        <f t="shared" si="0"/>
        <v>LB-BLRGW</v>
      </c>
      <c r="E28" s="3" t="s">
        <v>54</v>
      </c>
      <c r="F28" s="8" t="s">
        <v>32</v>
      </c>
      <c r="G28" s="8" t="s">
        <v>34</v>
      </c>
      <c r="H28" s="3">
        <v>2</v>
      </c>
      <c r="I28" s="4">
        <v>0.89583333333333337</v>
      </c>
      <c r="J28" s="4">
        <v>0.91666666666666663</v>
      </c>
      <c r="K28" s="4">
        <v>0.27777777777777779</v>
      </c>
      <c r="L28" s="4">
        <v>0.3611111111111111</v>
      </c>
    </row>
    <row r="29" spans="1:12" x14ac:dyDescent="0.35">
      <c r="A29" s="6" t="s">
        <v>55</v>
      </c>
      <c r="B29" s="8" t="s">
        <v>92</v>
      </c>
      <c r="C29" s="8" t="s">
        <v>93</v>
      </c>
      <c r="D29" s="8" t="str">
        <f t="shared" si="0"/>
        <v>MDU-SMVB</v>
      </c>
      <c r="E29" s="3" t="s">
        <v>35</v>
      </c>
      <c r="F29" s="8" t="s">
        <v>36</v>
      </c>
      <c r="G29" s="8">
        <v>17236</v>
      </c>
      <c r="H29" s="3" t="s">
        <v>37</v>
      </c>
      <c r="I29" s="4">
        <v>0.89583333333333337</v>
      </c>
      <c r="J29" s="4">
        <v>0</v>
      </c>
      <c r="K29" s="4">
        <v>0.39583333333333331</v>
      </c>
      <c r="L29" s="4">
        <v>0.39583333333333331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</vt:lpstr>
      <vt:lpstr>Surface</vt:lpstr>
    </vt:vector>
  </TitlesOfParts>
  <Company>FedEx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Singh (OSV)</dc:creator>
  <cp:lastModifiedBy>Ankur Savant</cp:lastModifiedBy>
  <dcterms:created xsi:type="dcterms:W3CDTF">2026-07-20T13:10:26Z</dcterms:created>
  <dcterms:modified xsi:type="dcterms:W3CDTF">2026-09-24T04:24:00Z</dcterms:modified>
</cp:coreProperties>
</file>